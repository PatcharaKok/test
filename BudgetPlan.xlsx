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ITService-room1\Downloads\Budget-20230321T021048Z-001\Budget\"/>
    </mc:Choice>
  </mc:AlternateContent>
  <bookViews>
    <workbookView xWindow="-105" yWindow="-105" windowWidth="23250" windowHeight="125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8" i="1" l="1"/>
  <c r="D18" i="1"/>
  <c r="E18" i="1"/>
  <c r="F18" i="1"/>
  <c r="G18" i="1"/>
  <c r="H18" i="1"/>
  <c r="I18" i="1"/>
  <c r="J18" i="1"/>
  <c r="K18" i="1"/>
  <c r="L18" i="1"/>
  <c r="C16" i="1"/>
  <c r="D16" i="1"/>
  <c r="E16" i="1"/>
  <c r="F16" i="1"/>
  <c r="G16" i="1"/>
  <c r="H16" i="1"/>
  <c r="I16" i="1"/>
  <c r="J16" i="1"/>
  <c r="K16" i="1"/>
  <c r="L16" i="1"/>
  <c r="D19" i="1"/>
  <c r="J19" i="1"/>
  <c r="N17" i="1"/>
  <c r="N18" i="1" s="1"/>
  <c r="M17" i="1"/>
  <c r="M18" i="1" s="1"/>
  <c r="I19" i="1" l="1"/>
  <c r="C19" i="1"/>
  <c r="L19" i="1"/>
  <c r="F19" i="1"/>
  <c r="N19" i="1"/>
  <c r="H19" i="1"/>
  <c r="M16" i="1"/>
  <c r="N16" i="1"/>
  <c r="M19" i="1"/>
  <c r="G19" i="1"/>
  <c r="K19" i="1"/>
  <c r="E19" i="1"/>
</calcChain>
</file>

<file path=xl/sharedStrings.xml><?xml version="1.0" encoding="utf-8"?>
<sst xmlns="http://schemas.openxmlformats.org/spreadsheetml/2006/main" count="194" uniqueCount="30">
  <si>
    <t>รายการ</t>
  </si>
  <si>
    <t>กองบริหาร</t>
  </si>
  <si>
    <t>รวมทั้งสิ้น</t>
  </si>
  <si>
    <t xml:space="preserve">ประมาณการ </t>
  </si>
  <si>
    <t>จ่ายจริง</t>
  </si>
  <si>
    <t xml:space="preserve"> - เงินอุดหนุน - ค่าจ้างชั่วคราว</t>
  </si>
  <si>
    <t xml:space="preserve"> - เงินสมทบกองทุนประกันสังคม (5%)</t>
  </si>
  <si>
    <t xml:space="preserve"> - เงินสมทบกองทุนสำรองเลี้ยงชีพ (3%)</t>
  </si>
  <si>
    <t xml:space="preserve"> - เงินชดเชยกรณีเลิกจ้าง </t>
  </si>
  <si>
    <t xml:space="preserve"> - อุดหนุนเงินทุนสวัสดิการดานการศึกษาบุตรของผู้ปฏิบัติงาน มข.</t>
  </si>
  <si>
    <t xml:space="preserve"> - ค่าตอบแทน </t>
  </si>
  <si>
    <t xml:space="preserve"> - ค่าใช้สอย</t>
  </si>
  <si>
    <t xml:space="preserve"> - ค่าวัสดุ</t>
  </si>
  <si>
    <t xml:space="preserve"> - ค่าสาธารณูปโภค</t>
  </si>
  <si>
    <t>เงินอุดหนุนทั่วไป</t>
  </si>
  <si>
    <t>หมวด</t>
  </si>
  <si>
    <t>บุคลากร</t>
  </si>
  <si>
    <t>รวม</t>
  </si>
  <si>
    <t>ดำเนินการ</t>
  </si>
  <si>
    <t>อุดหนุนทั่วไป</t>
  </si>
  <si>
    <t>สรุปงบประมาณตามแผนการใช้จ่าย</t>
  </si>
  <si>
    <t>ภาควิชา ก.</t>
  </si>
  <si>
    <t>ภาควิชา ข.</t>
  </si>
  <si>
    <t>ภาควิชา ง.</t>
  </si>
  <si>
    <t>ภาควิชา จ.</t>
  </si>
  <si>
    <t>หน่วยงาน</t>
  </si>
  <si>
    <t xml:space="preserve"> - ค่าตอบแทน</t>
  </si>
  <si>
    <t/>
  </si>
  <si>
    <t xml:space="preserve"> - เงินชดเชยกรณีเลิกจ้าง</t>
  </si>
  <si>
    <t xml:space="preserve"> - อุดหนุนเงินทุนสวัสดิการด้านการศึกษาบุตรของผู้ปฏิบัติงาน มข.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</si>
</sst>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\-* #,##0.00_-;_-* &quot;-&quot;??_-;_-@_-"/>
    <numFmt numFmtId="165" formatCode="_-* #,##0_-;\-* #,##0_-;_-* &quot;-&quot;??_-;_-@_-"/>
  </numFmts>
  <fonts count="8">
    <font>
      <sz val="14"/>
      <color theme="1"/>
      <name val="TH Sarabun New"/>
      <family val="2"/>
      <charset val="222"/>
    </font>
    <font>
      <sz val="14"/>
      <color theme="1"/>
      <name val="TH Sarabun New"/>
      <family val="2"/>
      <charset val="222"/>
    </font>
    <font>
      <b/>
      <sz val="18"/>
      <color theme="1"/>
      <name val="TH Sarabun New"/>
      <family val="2"/>
    </font>
    <font>
      <b/>
      <sz val="14"/>
      <color theme="1"/>
      <name val="TH Sarabun New"/>
      <family val="2"/>
    </font>
    <font>
      <sz val="14"/>
      <name val="TH Sarabun New"/>
      <family val="2"/>
    </font>
    <font>
      <b/>
      <sz val="14"/>
      <name val="TH Sarabun New"/>
      <family val="2"/>
    </font>
    <font>
      <sz val="14"/>
      <color theme="1"/>
      <name val="TH Sarabun New"/>
      <family val="2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165" fontId="4" fillId="2" borderId="5" xfId="1" applyNumberFormat="1" applyFont="1" applyFill="1" applyBorder="1" applyAlignment="1">
      <alignment horizontal="center" vertical="top"/>
    </xf>
    <xf numFmtId="165" fontId="4" fillId="3" borderId="3" xfId="1" applyNumberFormat="1" applyFont="1" applyFill="1" applyBorder="1" applyAlignment="1">
      <alignment horizontal="center" vertical="top"/>
    </xf>
    <xf numFmtId="0" fontId="4" fillId="2" borderId="6" xfId="0" applyFont="1" applyFill="1" applyBorder="1" applyAlignment="1">
      <alignment vertical="top"/>
    </xf>
    <xf numFmtId="3" fontId="4" fillId="2" borderId="6" xfId="1" applyNumberFormat="1" applyFont="1" applyFill="1" applyBorder="1" applyAlignment="1">
      <alignment vertical="top"/>
    </xf>
    <xf numFmtId="3" fontId="4" fillId="3" borderId="6" xfId="1" applyNumberFormat="1" applyFont="1" applyFill="1" applyBorder="1" applyAlignment="1">
      <alignment vertical="top"/>
    </xf>
    <xf numFmtId="0" fontId="4" fillId="2" borderId="6" xfId="0" applyFont="1" applyFill="1" applyBorder="1" applyAlignment="1">
      <alignment vertical="top" wrapText="1"/>
    </xf>
    <xf numFmtId="0" fontId="4" fillId="2" borderId="7" xfId="0" applyFont="1" applyFill="1" applyBorder="1" applyAlignment="1">
      <alignment vertical="top" wrapText="1"/>
    </xf>
    <xf numFmtId="0" fontId="4" fillId="5" borderId="5" xfId="0" applyFont="1" applyFill="1" applyBorder="1" applyAlignment="1">
      <alignment horizontal="center" vertical="top"/>
    </xf>
    <xf numFmtId="3" fontId="4" fillId="5" borderId="5" xfId="1" applyNumberFormat="1" applyFont="1" applyFill="1" applyBorder="1" applyAlignment="1">
      <alignment vertical="top"/>
    </xf>
    <xf numFmtId="3" fontId="4" fillId="3" borderId="5" xfId="1" applyNumberFormat="1" applyFont="1" applyFill="1" applyBorder="1" applyAlignment="1">
      <alignment vertical="top"/>
    </xf>
    <xf numFmtId="0" fontId="4" fillId="2" borderId="7" xfId="0" applyFont="1" applyFill="1" applyBorder="1" applyAlignment="1">
      <alignment vertical="top"/>
    </xf>
    <xf numFmtId="0" fontId="5" fillId="2" borderId="5" xfId="0" applyFont="1" applyFill="1" applyBorder="1" applyAlignment="1">
      <alignment vertical="top"/>
    </xf>
    <xf numFmtId="165" fontId="3" fillId="2" borderId="5" xfId="1" applyNumberFormat="1" applyFont="1" applyFill="1" applyBorder="1" applyAlignment="1">
      <alignment vertical="top"/>
    </xf>
    <xf numFmtId="165" fontId="3" fillId="3" borderId="5" xfId="1" applyNumberFormat="1" applyFont="1" applyFill="1" applyBorder="1" applyAlignment="1">
      <alignment vertical="top"/>
    </xf>
    <xf numFmtId="165" fontId="5" fillId="2" borderId="5" xfId="1" applyNumberFormat="1" applyFont="1" applyFill="1" applyBorder="1"/>
    <xf numFmtId="165" fontId="6" fillId="2" borderId="5" xfId="1" applyNumberFormat="1" applyFont="1" applyFill="1" applyBorder="1" applyAlignment="1">
      <alignment vertical="top"/>
    </xf>
    <xf numFmtId="165" fontId="4" fillId="2" borderId="2" xfId="1" applyNumberFormat="1" applyFont="1" applyFill="1" applyBorder="1" applyAlignment="1">
      <alignment horizontal="center" vertical="top"/>
    </xf>
    <xf numFmtId="165" fontId="4" fillId="2" borderId="3" xfId="1" applyNumberFormat="1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0" borderId="0" xfId="0" applyFont="1"/>
    <xf numFmtId="1" fontId="7" fillId="0" borderId="0" xfId="0" applyNumberFormat="1" applyFont="1"/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top"/>
    </xf>
    <xf numFmtId="0" fontId="4" fillId="2" borderId="10" xfId="0" applyFont="1" applyFill="1" applyBorder="1" applyAlignment="1">
      <alignment horizontal="center" vertical="top"/>
    </xf>
    <xf numFmtId="0" fontId="4" fillId="2" borderId="9" xfId="0" applyFont="1" applyFill="1" applyBorder="1" applyAlignment="1">
      <alignment horizontal="center" vertical="top"/>
    </xf>
    <xf numFmtId="165" fontId="4" fillId="2" borderId="11" xfId="1" applyNumberFormat="1" applyFont="1" applyFill="1" applyBorder="1" applyAlignment="1">
      <alignment horizontal="center" vertical="top"/>
    </xf>
    <xf numFmtId="165" fontId="4" fillId="4" borderId="11" xfId="1" applyNumberFormat="1" applyFont="1" applyFill="1" applyBorder="1" applyAlignment="1">
      <alignment horizontal="center" vertical="top"/>
    </xf>
    <xf numFmtId="3" fontId="4" fillId="3" borderId="11" xfId="1" applyNumberFormat="1" applyFont="1" applyFill="1" applyBorder="1" applyAlignment="1">
      <alignment vertical="top"/>
    </xf>
    <xf numFmtId="165" fontId="4" fillId="3" borderId="2" xfId="1" applyNumberFormat="1" applyFont="1" applyFill="1" applyBorder="1" applyAlignment="1">
      <alignment vertical="top"/>
    </xf>
    <xf numFmtId="3" fontId="4" fillId="3" borderId="12" xfId="1" applyNumberFormat="1" applyFont="1" applyFill="1" applyBorder="1" applyAlignment="1">
      <alignment vertical="top"/>
    </xf>
    <xf numFmtId="0" fontId="5" fillId="2" borderId="13" xfId="0" applyFont="1" applyFill="1" applyBorder="1" applyAlignment="1">
      <alignment horizontal="center" vertical="top"/>
    </xf>
    <xf numFmtId="0" fontId="5" fillId="2" borderId="8" xfId="0" applyFont="1" applyFill="1" applyBorder="1" applyAlignment="1">
      <alignment horizontal="center" vertical="top"/>
    </xf>
    <xf numFmtId="165" fontId="3" fillId="0" borderId="1" xfId="0" applyNumberFormat="1" applyFont="1" applyBorder="1"/>
    <xf numFmtId="165" fontId="3" fillId="0" borderId="14" xfId="0" applyNumberFormat="1" applyFont="1" applyBorder="1"/>
    <xf numFmtId="0" fontId="5" fillId="2" borderId="9" xfId="0" applyFont="1" applyFill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H Sarabun New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H Sarabun New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H Sarabun New"/>
        <scheme val="none"/>
      </font>
      <numFmt numFmtId="165" formatCode="_-* #,##0_-;\-* #,##0_-;_-* &quot;-&quot;??_-;_-@_-"/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H Sarabun New"/>
        <scheme val="none"/>
      </font>
      <numFmt numFmtId="165" formatCode="_-* #,##0_-;\-* #,##0_-;_-* &quot;-&quot;??_-;_-@_-"/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H Sarabun New"/>
        <scheme val="none"/>
      </font>
      <numFmt numFmtId="165" formatCode="_-* #,##0_-;\-* #,##0_-;_-* &quot;-&quot;??_-;_-@_-"/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H Sarabun New"/>
        <scheme val="none"/>
      </font>
      <numFmt numFmtId="165" formatCode="_-* #,##0_-;\-* #,##0_-;_-* &quot;-&quot;??_-;_-@_-"/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H Sarabun New"/>
        <scheme val="none"/>
      </font>
      <numFmt numFmtId="165" formatCode="_-* #,##0_-;\-* #,##0_-;_-* &quot;-&quot;??_-;_-@_-"/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H Sarabun New"/>
        <scheme val="none"/>
      </font>
      <numFmt numFmtId="165" formatCode="_-* #,##0_-;\-* #,##0_-;_-* &quot;-&quot;??_-;_-@_-"/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H Sarabun New"/>
        <scheme val="none"/>
      </font>
      <numFmt numFmtId="165" formatCode="_-* #,##0_-;\-* #,##0_-;_-* &quot;-&quot;??_-;_-@_-"/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H Sarabun New"/>
        <scheme val="none"/>
      </font>
      <numFmt numFmtId="165" formatCode="_-* #,##0_-;\-* #,##0_-;_-* &quot;-&quot;??_-;_-@_-"/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H Sarabun New"/>
        <scheme val="none"/>
      </font>
      <numFmt numFmtId="165" formatCode="_-* #,##0_-;\-* #,##0_-;_-* &quot;-&quot;??_-;_-@_-"/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H Sarabun New"/>
        <scheme val="none"/>
      </font>
      <numFmt numFmtId="165" formatCode="_-* #,##0_-;\-* #,##0_-;_-* &quot;-&quot;??_-;_-@_-"/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H Sarabun New"/>
        <scheme val="none"/>
      </font>
      <numFmt numFmtId="165" formatCode="_-* #,##0_-;\-* #,##0_-;_-* &quot;-&quot;??_-;_-@_-"/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H Sarabun New"/>
        <scheme val="none"/>
      </font>
      <numFmt numFmtId="165" formatCode="_-* #,##0_-;\-* #,##0_-;_-* &quot;-&quot;??_-;_-@_-"/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H Sarabun New"/>
        <scheme val="none"/>
      </font>
      <numFmt numFmtId="165" formatCode="_-* #,##0_-;\-* #,##0_-;_-* &quot;-&quot;??_-;_-@_-"/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blbudget" displayName="tblbudget" ref="A4:N19" headerRowCount="0" totalsRowShown="0" headerRowDxfId="14" tableBorderDxfId="15" headerRowCellStyle="Comma">
  <tableColumns count="14">
    <tableColumn id="1" name="Column1" headerRowDxfId="0"/>
    <tableColumn id="2" name="Column2" headerRowDxfId="1"/>
    <tableColumn id="3" name="Column3" headerRowDxfId="2"/>
    <tableColumn id="4" name="Column4" headerRowDxfId="3"/>
    <tableColumn id="5" name="Column5" headerRowDxfId="4"/>
    <tableColumn id="6" name="Column6" headerRowDxfId="5"/>
    <tableColumn id="7" name="Column7" headerRowDxfId="6"/>
    <tableColumn id="8" name="Column8" headerRowDxfId="7"/>
    <tableColumn id="9" name="Column9" headerRowDxfId="8"/>
    <tableColumn id="10" name="Column10" headerRowDxfId="9"/>
    <tableColumn id="11" name="Column11" headerRowDxfId="10"/>
    <tableColumn id="12" name="Column12" headerRowDxfId="11"/>
    <tableColumn id="13" name="Column13" headerRowDxfId="12"/>
    <tableColumn id="14" name="Column14" headerRowDxf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3"/>
  <sheetViews>
    <sheetView tabSelected="1" zoomScale="85" zoomScaleNormal="85" workbookViewId="0">
      <selection activeCell="K24" sqref="K24"/>
    </sheetView>
  </sheetViews>
  <sheetFormatPr defaultRowHeight="20.25"/>
  <cols>
    <col min="1" max="1" width="12.296875" customWidth="1"/>
    <col min="2" max="2" width="28.19921875" customWidth="1"/>
    <col min="3" max="3" width="12" bestFit="1" customWidth="1"/>
    <col min="4" max="4" width="11.296875" customWidth="1"/>
    <col min="5" max="5" width="12" bestFit="1" customWidth="1"/>
    <col min="6" max="6" width="11.296875" customWidth="1"/>
    <col min="7" max="7" width="12" bestFit="1" customWidth="1"/>
    <col min="8" max="8" width="11.296875" customWidth="1"/>
    <col min="9" max="9" width="12" bestFit="1" customWidth="1"/>
    <col min="10" max="14" width="12.3984375" customWidth="1"/>
    <col min="16" max="16" width="13" customWidth="1"/>
    <col min="17" max="17" width="14.3984375" customWidth="1"/>
    <col min="18" max="18" width="12.09765625" customWidth="1"/>
    <col min="19" max="19" width="11.59765625" bestFit="1" customWidth="1"/>
    <col min="20" max="20" width="11.59765625" customWidth="1"/>
  </cols>
  <sheetData>
    <row r="1" spans="1:20" ht="23.25">
      <c r="A1" s="1" t="s">
        <v>20</v>
      </c>
    </row>
    <row r="3" spans="1:20">
      <c r="P3" s="22" t="s">
        <v>15</v>
      </c>
      <c r="Q3" s="22" t="s">
        <v>0</v>
      </c>
      <c r="R3" s="22" t="s">
        <v>25</v>
      </c>
      <c r="S3" s="22" t="s">
        <v>3</v>
      </c>
      <c r="T3" s="22" t="s">
        <v>4</v>
      </c>
    </row>
    <row r="4" spans="1:20">
      <c r="A4" s="24" t="s">
        <v>15</v>
      </c>
      <c r="B4" s="20" t="s">
        <v>0</v>
      </c>
      <c r="C4" s="18" t="s">
        <v>1</v>
      </c>
      <c r="D4" s="19"/>
      <c r="E4" s="18" t="s">
        <v>21</v>
      </c>
      <c r="F4" s="19"/>
      <c r="G4" s="18" t="s">
        <v>22</v>
      </c>
      <c r="H4" s="19"/>
      <c r="I4" s="18" t="s">
        <v>23</v>
      </c>
      <c r="J4" s="19"/>
      <c r="K4" s="18" t="s">
        <v>24</v>
      </c>
      <c r="L4" s="19"/>
      <c r="M4" s="18" t="s">
        <v>2</v>
      </c>
      <c r="N4" s="29"/>
      <c r="P4" s="22" t="s">
        <v>18</v>
      </c>
      <c r="Q4" s="22" t="s">
        <v>26</v>
      </c>
      <c r="R4" s="22" t="s">
        <v>1</v>
      </c>
      <c r="S4" s="23">
        <v>200000</v>
      </c>
      <c r="T4" s="23">
        <v>200600</v>
      </c>
    </row>
    <row r="5" spans="1:20">
      <c r="A5" s="25"/>
      <c r="B5" s="21"/>
      <c r="C5" s="2" t="s">
        <v>3</v>
      </c>
      <c r="D5" s="3" t="s">
        <v>4</v>
      </c>
      <c r="E5" s="2" t="s">
        <v>3</v>
      </c>
      <c r="F5" s="3" t="s">
        <v>4</v>
      </c>
      <c r="G5" s="2" t="s">
        <v>3</v>
      </c>
      <c r="H5" s="3" t="s">
        <v>4</v>
      </c>
      <c r="I5" s="2" t="s">
        <v>3</v>
      </c>
      <c r="J5" s="3" t="s">
        <v>4</v>
      </c>
      <c r="K5" s="2" t="s">
        <v>3</v>
      </c>
      <c r="L5" s="3" t="s">
        <v>4</v>
      </c>
      <c r="M5" s="2" t="s">
        <v>3</v>
      </c>
      <c r="N5" s="30" t="s">
        <v>4</v>
      </c>
      <c r="P5" s="22" t="s">
        <v>18</v>
      </c>
      <c r="Q5" s="22" t="s">
        <v>26</v>
      </c>
      <c r="R5" s="22" t="s">
        <v>21</v>
      </c>
      <c r="S5" s="23">
        <v>53000</v>
      </c>
      <c r="T5" s="23">
        <v>126325</v>
      </c>
    </row>
    <row r="6" spans="1:20">
      <c r="A6" s="26" t="s">
        <v>16</v>
      </c>
      <c r="B6" s="4" t="s">
        <v>5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P6" s="22" t="s">
        <v>18</v>
      </c>
      <c r="Q6" s="22" t="s">
        <v>26</v>
      </c>
      <c r="R6" s="22" t="s">
        <v>22</v>
      </c>
      <c r="S6" s="23">
        <v>60000</v>
      </c>
      <c r="T6" s="23">
        <v>42623</v>
      </c>
    </row>
    <row r="7" spans="1:20">
      <c r="A7" s="27"/>
      <c r="B7" s="4" t="s">
        <v>6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P7" s="22" t="s">
        <v>18</v>
      </c>
      <c r="Q7" s="22" t="s">
        <v>26</v>
      </c>
      <c r="R7" s="22" t="s">
        <v>23</v>
      </c>
      <c r="S7" s="23">
        <v>55000</v>
      </c>
      <c r="T7" s="23">
        <v>43987</v>
      </c>
    </row>
    <row r="8" spans="1:20">
      <c r="A8" s="27"/>
      <c r="B8" s="4" t="s">
        <v>7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P8" s="22" t="s">
        <v>18</v>
      </c>
      <c r="Q8" s="22" t="s">
        <v>26</v>
      </c>
      <c r="R8" s="22" t="s">
        <v>24</v>
      </c>
      <c r="S8" s="23">
        <v>70000</v>
      </c>
      <c r="T8" s="23">
        <v>9150</v>
      </c>
    </row>
    <row r="9" spans="1:20">
      <c r="A9" s="27"/>
      <c r="B9" s="7" t="s">
        <v>8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P9" s="22" t="s">
        <v>18</v>
      </c>
      <c r="Q9" s="22" t="s">
        <v>12</v>
      </c>
      <c r="R9" s="22" t="s">
        <v>1</v>
      </c>
      <c r="S9" s="23">
        <v>400000</v>
      </c>
      <c r="T9" s="23">
        <v>336978</v>
      </c>
    </row>
    <row r="10" spans="1:20" ht="36">
      <c r="A10" s="27"/>
      <c r="B10" s="8" t="s">
        <v>29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P10" s="22" t="s">
        <v>18</v>
      </c>
      <c r="Q10" s="22" t="s">
        <v>12</v>
      </c>
      <c r="R10" s="22" t="s">
        <v>21</v>
      </c>
      <c r="S10" s="23">
        <v>200000</v>
      </c>
      <c r="T10" s="23">
        <v>198507</v>
      </c>
    </row>
    <row r="11" spans="1:20">
      <c r="A11" s="28"/>
      <c r="B11" s="9" t="s">
        <v>17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P11" s="22" t="s">
        <v>18</v>
      </c>
      <c r="Q11" s="22" t="s">
        <v>12</v>
      </c>
      <c r="R11" s="22" t="s">
        <v>22</v>
      </c>
      <c r="S11" s="23">
        <v>50000</v>
      </c>
      <c r="T11" s="23">
        <v>101410</v>
      </c>
    </row>
    <row r="12" spans="1:20">
      <c r="A12" s="26" t="s">
        <v>18</v>
      </c>
      <c r="B12" s="4" t="s">
        <v>10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P12" s="22" t="s">
        <v>18</v>
      </c>
      <c r="Q12" s="22" t="s">
        <v>12</v>
      </c>
      <c r="R12" s="22" t="s">
        <v>23</v>
      </c>
      <c r="S12" s="23">
        <v>400000</v>
      </c>
      <c r="T12" s="23">
        <v>277869</v>
      </c>
    </row>
    <row r="13" spans="1:20">
      <c r="A13" s="27"/>
      <c r="B13" s="4" t="s">
        <v>11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P13" s="22" t="s">
        <v>18</v>
      </c>
      <c r="Q13" s="22" t="s">
        <v>12</v>
      </c>
      <c r="R13" s="22" t="s">
        <v>24</v>
      </c>
      <c r="S13" s="23">
        <v>70000</v>
      </c>
      <c r="T13" s="23">
        <v>18776</v>
      </c>
    </row>
    <row r="14" spans="1:20">
      <c r="A14" s="27"/>
      <c r="B14" s="4" t="s">
        <v>12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P14" s="22" t="s">
        <v>18</v>
      </c>
      <c r="Q14" s="22" t="s">
        <v>13</v>
      </c>
      <c r="R14" s="22" t="s">
        <v>1</v>
      </c>
      <c r="S14" s="23">
        <v>35000</v>
      </c>
      <c r="T14" s="23">
        <v>8459</v>
      </c>
    </row>
    <row r="15" spans="1:20">
      <c r="A15" s="27"/>
      <c r="B15" s="12" t="s">
        <v>13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P15" s="22" t="s">
        <v>18</v>
      </c>
      <c r="Q15" s="22" t="s">
        <v>13</v>
      </c>
      <c r="R15" s="22" t="s">
        <v>21</v>
      </c>
      <c r="S15" s="23">
        <v>20000</v>
      </c>
      <c r="T15" s="23">
        <v>2239</v>
      </c>
    </row>
    <row r="16" spans="1:20">
      <c r="A16" s="28"/>
      <c r="B16" s="9" t="s">
        <v>17</v>
      </c>
      <c r="C16" s="10">
        <f>SUM(C12:C15)</f>
        <v>0</v>
      </c>
      <c r="D16" s="11">
        <f t="shared" ref="D16:N16" si="0">SUM(D12:D15)</f>
        <v>0</v>
      </c>
      <c r="E16" s="10">
        <f t="shared" si="0"/>
        <v>0</v>
      </c>
      <c r="F16" s="11">
        <f t="shared" si="0"/>
        <v>0</v>
      </c>
      <c r="G16" s="10">
        <f t="shared" si="0"/>
        <v>0</v>
      </c>
      <c r="H16" s="11">
        <f t="shared" si="0"/>
        <v>0</v>
      </c>
      <c r="I16" s="10">
        <f t="shared" si="0"/>
        <v>0</v>
      </c>
      <c r="J16" s="11">
        <f t="shared" si="0"/>
        <v>0</v>
      </c>
      <c r="K16" s="10">
        <f t="shared" si="0"/>
        <v>0</v>
      </c>
      <c r="L16" s="11">
        <f t="shared" si="0"/>
        <v>0</v>
      </c>
      <c r="M16" s="10">
        <f t="shared" si="0"/>
        <v>0</v>
      </c>
      <c r="N16" s="31">
        <f t="shared" si="0"/>
        <v>0</v>
      </c>
      <c r="P16" s="22" t="s">
        <v>18</v>
      </c>
      <c r="Q16" s="22" t="s">
        <v>13</v>
      </c>
      <c r="R16" s="22" t="s">
        <v>22</v>
      </c>
      <c r="S16" s="23">
        <v>10000</v>
      </c>
      <c r="T16" s="23">
        <v>3062</v>
      </c>
    </row>
    <row r="17" spans="1:20">
      <c r="A17" s="35" t="s">
        <v>19</v>
      </c>
      <c r="B17" s="13" t="s">
        <v>14</v>
      </c>
      <c r="C17" s="14">
        <v>278000</v>
      </c>
      <c r="D17" s="15">
        <v>178968</v>
      </c>
      <c r="E17" s="16">
        <v>1379050</v>
      </c>
      <c r="F17" s="15">
        <v>108774</v>
      </c>
      <c r="G17" s="14">
        <v>932000</v>
      </c>
      <c r="H17" s="15">
        <v>225202</v>
      </c>
      <c r="I17" s="14">
        <v>1227100</v>
      </c>
      <c r="J17" s="15">
        <v>62905</v>
      </c>
      <c r="K17" s="14">
        <v>402300</v>
      </c>
      <c r="L17" s="15">
        <v>81420</v>
      </c>
      <c r="M17" s="17">
        <f t="shared" ref="M12:N17" si="1">SUM(C17+E17+G17+I17+K17)</f>
        <v>4218450</v>
      </c>
      <c r="N17" s="32">
        <f t="shared" si="1"/>
        <v>657269</v>
      </c>
      <c r="P17" s="22" t="s">
        <v>18</v>
      </c>
      <c r="Q17" s="22" t="s">
        <v>13</v>
      </c>
      <c r="R17" s="22" t="s">
        <v>23</v>
      </c>
      <c r="S17" s="23">
        <v>10000</v>
      </c>
      <c r="T17" s="23">
        <v>3363</v>
      </c>
    </row>
    <row r="18" spans="1:20">
      <c r="A18" s="38"/>
      <c r="B18" s="9" t="s">
        <v>17</v>
      </c>
      <c r="C18" s="10">
        <f t="shared" ref="C18:N18" si="2">SUM(C17)</f>
        <v>278000</v>
      </c>
      <c r="D18" s="6">
        <f t="shared" si="2"/>
        <v>178968</v>
      </c>
      <c r="E18" s="10">
        <f t="shared" si="2"/>
        <v>1379050</v>
      </c>
      <c r="F18" s="6">
        <f t="shared" si="2"/>
        <v>108774</v>
      </c>
      <c r="G18" s="10">
        <f t="shared" si="2"/>
        <v>932000</v>
      </c>
      <c r="H18" s="6">
        <f t="shared" si="2"/>
        <v>225202</v>
      </c>
      <c r="I18" s="10">
        <f t="shared" si="2"/>
        <v>1227100</v>
      </c>
      <c r="J18" s="6">
        <f t="shared" si="2"/>
        <v>62905</v>
      </c>
      <c r="K18" s="10">
        <f t="shared" si="2"/>
        <v>402300</v>
      </c>
      <c r="L18" s="6">
        <f t="shared" si="2"/>
        <v>81420</v>
      </c>
      <c r="M18" s="10">
        <f t="shared" si="2"/>
        <v>4218450</v>
      </c>
      <c r="N18" s="33">
        <f t="shared" si="2"/>
        <v>657269</v>
      </c>
      <c r="P18" s="22" t="s">
        <v>18</v>
      </c>
      <c r="Q18" s="22" t="s">
        <v>13</v>
      </c>
      <c r="R18" s="22" t="s">
        <v>24</v>
      </c>
      <c r="S18" s="23">
        <v>10000</v>
      </c>
      <c r="T18" s="23" t="s">
        <v>27</v>
      </c>
    </row>
    <row r="19" spans="1:20">
      <c r="A19" s="34" t="s">
        <v>2</v>
      </c>
      <c r="B19" s="35"/>
      <c r="C19" s="36">
        <f>C11+C16+C18</f>
        <v>278000</v>
      </c>
      <c r="D19" s="36">
        <f t="shared" ref="D19:N19" si="3">D11+D16+D18</f>
        <v>178968</v>
      </c>
      <c r="E19" s="36">
        <f t="shared" si="3"/>
        <v>1379050</v>
      </c>
      <c r="F19" s="36">
        <f t="shared" si="3"/>
        <v>108774</v>
      </c>
      <c r="G19" s="36">
        <f t="shared" si="3"/>
        <v>932000</v>
      </c>
      <c r="H19" s="36">
        <f t="shared" si="3"/>
        <v>225202</v>
      </c>
      <c r="I19" s="36">
        <f t="shared" si="3"/>
        <v>1227100</v>
      </c>
      <c r="J19" s="36">
        <f t="shared" si="3"/>
        <v>62905</v>
      </c>
      <c r="K19" s="36">
        <f t="shared" si="3"/>
        <v>402300</v>
      </c>
      <c r="L19" s="36">
        <f t="shared" si="3"/>
        <v>81420</v>
      </c>
      <c r="M19" s="36">
        <f t="shared" si="3"/>
        <v>4218450</v>
      </c>
      <c r="N19" s="37">
        <f t="shared" si="3"/>
        <v>657269</v>
      </c>
      <c r="P19" s="22" t="s">
        <v>18</v>
      </c>
      <c r="Q19" s="22" t="s">
        <v>11</v>
      </c>
      <c r="R19" s="22" t="s">
        <v>1</v>
      </c>
      <c r="S19" s="23">
        <v>400000</v>
      </c>
      <c r="T19" s="23">
        <v>435671</v>
      </c>
    </row>
    <row r="20" spans="1:20">
      <c r="P20" s="22" t="s">
        <v>18</v>
      </c>
      <c r="Q20" s="22" t="s">
        <v>11</v>
      </c>
      <c r="R20" s="22" t="s">
        <v>21</v>
      </c>
      <c r="S20" s="23">
        <v>100000</v>
      </c>
      <c r="T20" s="23">
        <v>61604</v>
      </c>
    </row>
    <row r="21" spans="1:20">
      <c r="P21" s="22" t="s">
        <v>18</v>
      </c>
      <c r="Q21" s="22" t="s">
        <v>11</v>
      </c>
      <c r="R21" s="22" t="s">
        <v>22</v>
      </c>
      <c r="S21" s="23">
        <v>70000</v>
      </c>
      <c r="T21" s="23">
        <v>55800</v>
      </c>
    </row>
    <row r="22" spans="1:20">
      <c r="P22" s="22" t="s">
        <v>18</v>
      </c>
      <c r="Q22" s="22" t="s">
        <v>11</v>
      </c>
      <c r="R22" s="22" t="s">
        <v>23</v>
      </c>
      <c r="S22" s="23">
        <v>400000</v>
      </c>
      <c r="T22" s="23">
        <v>77422</v>
      </c>
    </row>
    <row r="23" spans="1:20">
      <c r="P23" s="22" t="s">
        <v>18</v>
      </c>
      <c r="Q23" s="22" t="s">
        <v>11</v>
      </c>
      <c r="R23" s="22" t="s">
        <v>24</v>
      </c>
      <c r="S23" s="23">
        <v>50000</v>
      </c>
      <c r="T23" s="23">
        <v>20881</v>
      </c>
    </row>
    <row r="24" spans="1:20">
      <c r="P24" s="22" t="s">
        <v>16</v>
      </c>
      <c r="Q24" s="22" t="s">
        <v>9</v>
      </c>
      <c r="R24" s="22" t="s">
        <v>1</v>
      </c>
      <c r="S24" s="23">
        <v>14000</v>
      </c>
      <c r="T24" s="23">
        <v>14000</v>
      </c>
    </row>
    <row r="25" spans="1:20">
      <c r="P25" s="22" t="s">
        <v>16</v>
      </c>
      <c r="Q25" s="22" t="s">
        <v>9</v>
      </c>
      <c r="R25" s="22" t="s">
        <v>21</v>
      </c>
      <c r="S25" s="23">
        <v>0</v>
      </c>
      <c r="T25" s="23">
        <v>0</v>
      </c>
    </row>
    <row r="26" spans="1:20">
      <c r="P26" s="22" t="s">
        <v>16</v>
      </c>
      <c r="Q26" s="22" t="s">
        <v>9</v>
      </c>
      <c r="R26" s="22" t="s">
        <v>22</v>
      </c>
      <c r="S26" s="23">
        <v>24500</v>
      </c>
      <c r="T26" s="23">
        <v>31500</v>
      </c>
    </row>
    <row r="27" spans="1:20">
      <c r="P27" s="22" t="s">
        <v>16</v>
      </c>
      <c r="Q27" s="22" t="s">
        <v>9</v>
      </c>
      <c r="R27" s="22" t="s">
        <v>23</v>
      </c>
      <c r="S27" s="23">
        <v>3500</v>
      </c>
      <c r="T27" s="23">
        <v>3500</v>
      </c>
    </row>
    <row r="28" spans="1:20">
      <c r="P28" s="22" t="s">
        <v>16</v>
      </c>
      <c r="Q28" s="22" t="s">
        <v>9</v>
      </c>
      <c r="R28" s="22" t="s">
        <v>24</v>
      </c>
      <c r="S28" s="23">
        <v>3500</v>
      </c>
      <c r="T28" s="23">
        <v>7000</v>
      </c>
    </row>
    <row r="29" spans="1:20">
      <c r="P29" s="22" t="s">
        <v>16</v>
      </c>
      <c r="Q29" s="22" t="s">
        <v>28</v>
      </c>
      <c r="R29" s="22" t="s">
        <v>1</v>
      </c>
      <c r="S29" s="23">
        <v>0</v>
      </c>
      <c r="T29" s="23">
        <v>69520</v>
      </c>
    </row>
    <row r="30" spans="1:20">
      <c r="P30" s="22" t="s">
        <v>16</v>
      </c>
      <c r="Q30" s="22" t="s">
        <v>28</v>
      </c>
      <c r="R30" s="22" t="s">
        <v>21</v>
      </c>
      <c r="S30" s="23">
        <v>86400</v>
      </c>
      <c r="T30" s="23">
        <v>0</v>
      </c>
    </row>
    <row r="31" spans="1:20">
      <c r="P31" s="22" t="s">
        <v>16</v>
      </c>
      <c r="Q31" s="22" t="s">
        <v>28</v>
      </c>
      <c r="R31" s="22" t="s">
        <v>22</v>
      </c>
      <c r="S31" s="23">
        <v>0</v>
      </c>
      <c r="T31" s="23">
        <v>0</v>
      </c>
    </row>
    <row r="32" spans="1:20">
      <c r="P32" s="22" t="s">
        <v>16</v>
      </c>
      <c r="Q32" s="22" t="s">
        <v>28</v>
      </c>
      <c r="R32" s="22" t="s">
        <v>23</v>
      </c>
      <c r="S32" s="23">
        <v>0</v>
      </c>
      <c r="T32" s="23">
        <v>0</v>
      </c>
    </row>
    <row r="33" spans="16:20">
      <c r="P33" s="22" t="s">
        <v>16</v>
      </c>
      <c r="Q33" s="22" t="s">
        <v>28</v>
      </c>
      <c r="R33" s="22" t="s">
        <v>24</v>
      </c>
      <c r="S33" s="23">
        <v>0</v>
      </c>
      <c r="T33" s="23">
        <v>0</v>
      </c>
    </row>
    <row r="34" spans="16:20">
      <c r="P34" s="22" t="s">
        <v>16</v>
      </c>
      <c r="Q34" s="22" t="s">
        <v>6</v>
      </c>
      <c r="R34" s="22" t="s">
        <v>1</v>
      </c>
      <c r="S34" s="23">
        <v>45000</v>
      </c>
      <c r="T34" s="23">
        <v>202208</v>
      </c>
    </row>
    <row r="35" spans="16:20">
      <c r="P35" s="22" t="s">
        <v>16</v>
      </c>
      <c r="Q35" s="22" t="s">
        <v>6</v>
      </c>
      <c r="R35" s="22" t="s">
        <v>21</v>
      </c>
      <c r="S35" s="23">
        <v>18000</v>
      </c>
      <c r="T35" s="23">
        <v>5850</v>
      </c>
    </row>
    <row r="36" spans="16:20">
      <c r="P36" s="22" t="s">
        <v>16</v>
      </c>
      <c r="Q36" s="22" t="s">
        <v>6</v>
      </c>
      <c r="R36" s="22" t="s">
        <v>22</v>
      </c>
      <c r="S36" s="23">
        <v>0</v>
      </c>
      <c r="T36" s="23">
        <v>0</v>
      </c>
    </row>
    <row r="37" spans="16:20">
      <c r="P37" s="22" t="s">
        <v>16</v>
      </c>
      <c r="Q37" s="22" t="s">
        <v>6</v>
      </c>
      <c r="R37" s="22" t="s">
        <v>23</v>
      </c>
      <c r="S37" s="23">
        <v>5300</v>
      </c>
      <c r="T37" s="23">
        <v>3928</v>
      </c>
    </row>
    <row r="38" spans="16:20">
      <c r="P38" s="22" t="s">
        <v>16</v>
      </c>
      <c r="Q38" s="22" t="s">
        <v>6</v>
      </c>
      <c r="R38" s="22" t="s">
        <v>24</v>
      </c>
      <c r="S38" s="23">
        <v>0</v>
      </c>
      <c r="T38" s="23">
        <v>2244</v>
      </c>
    </row>
    <row r="39" spans="16:20">
      <c r="P39" s="22" t="s">
        <v>16</v>
      </c>
      <c r="Q39" s="22" t="s">
        <v>7</v>
      </c>
      <c r="R39" s="22" t="s">
        <v>1</v>
      </c>
      <c r="S39" s="23">
        <v>28500</v>
      </c>
      <c r="T39" s="23">
        <v>15753</v>
      </c>
    </row>
    <row r="40" spans="16:20">
      <c r="P40" s="22" t="s">
        <v>16</v>
      </c>
      <c r="Q40" s="22" t="s">
        <v>7</v>
      </c>
      <c r="R40" s="22" t="s">
        <v>21</v>
      </c>
      <c r="S40" s="23">
        <v>0</v>
      </c>
      <c r="T40" s="23">
        <v>6750</v>
      </c>
    </row>
    <row r="41" spans="16:20">
      <c r="P41" s="22" t="s">
        <v>16</v>
      </c>
      <c r="Q41" s="22" t="s">
        <v>7</v>
      </c>
      <c r="R41" s="22" t="s">
        <v>22</v>
      </c>
      <c r="S41" s="23">
        <v>0</v>
      </c>
      <c r="T41" s="23">
        <v>0</v>
      </c>
    </row>
    <row r="42" spans="16:20">
      <c r="P42" s="22" t="s">
        <v>16</v>
      </c>
      <c r="Q42" s="22" t="s">
        <v>7</v>
      </c>
      <c r="R42" s="22" t="s">
        <v>23</v>
      </c>
      <c r="S42" s="23">
        <v>3200</v>
      </c>
      <c r="T42" s="23">
        <v>0</v>
      </c>
    </row>
    <row r="43" spans="16:20">
      <c r="P43" s="22" t="s">
        <v>16</v>
      </c>
      <c r="Q43" s="22" t="s">
        <v>7</v>
      </c>
      <c r="R43" s="22" t="s">
        <v>24</v>
      </c>
      <c r="S43" s="23">
        <v>0</v>
      </c>
      <c r="T43" s="23">
        <v>0</v>
      </c>
    </row>
    <row r="44" spans="16:20">
      <c r="P44" s="22" t="s">
        <v>16</v>
      </c>
      <c r="Q44" s="22" t="s">
        <v>5</v>
      </c>
      <c r="R44" s="22" t="s">
        <v>1</v>
      </c>
      <c r="S44" s="23">
        <v>664600</v>
      </c>
      <c r="T44" s="23">
        <v>665400</v>
      </c>
    </row>
    <row r="45" spans="16:20">
      <c r="P45" s="22" t="s">
        <v>16</v>
      </c>
      <c r="Q45" s="22" t="s">
        <v>5</v>
      </c>
      <c r="R45" s="22" t="s">
        <v>21</v>
      </c>
      <c r="S45" s="23">
        <v>1003200</v>
      </c>
      <c r="T45" s="23">
        <v>350164</v>
      </c>
    </row>
    <row r="46" spans="16:20">
      <c r="P46" s="22" t="s">
        <v>16</v>
      </c>
      <c r="Q46" s="22" t="s">
        <v>5</v>
      </c>
      <c r="R46" s="22" t="s">
        <v>22</v>
      </c>
      <c r="S46" s="23">
        <v>80400</v>
      </c>
      <c r="T46" s="23">
        <v>0</v>
      </c>
    </row>
    <row r="47" spans="16:20">
      <c r="P47" s="22" t="s">
        <v>16</v>
      </c>
      <c r="Q47" s="22" t="s">
        <v>5</v>
      </c>
      <c r="R47" s="22" t="s">
        <v>23</v>
      </c>
      <c r="S47" s="23">
        <v>184700</v>
      </c>
      <c r="T47" s="23">
        <v>143816</v>
      </c>
    </row>
    <row r="48" spans="16:20">
      <c r="P48" s="22" t="s">
        <v>16</v>
      </c>
      <c r="Q48" s="22" t="s">
        <v>5</v>
      </c>
      <c r="R48" s="22" t="s">
        <v>24</v>
      </c>
      <c r="S48" s="23">
        <v>40200</v>
      </c>
      <c r="T48" s="23">
        <v>117600</v>
      </c>
    </row>
    <row r="49" spans="16:20">
      <c r="P49" s="22" t="s">
        <v>19</v>
      </c>
      <c r="Q49" s="22" t="s">
        <v>14</v>
      </c>
      <c r="R49" s="22" t="s">
        <v>1</v>
      </c>
      <c r="S49" s="23">
        <v>278000</v>
      </c>
      <c r="T49" s="23">
        <v>178968</v>
      </c>
    </row>
    <row r="50" spans="16:20">
      <c r="P50" s="22" t="s">
        <v>19</v>
      </c>
      <c r="Q50" s="22" t="s">
        <v>14</v>
      </c>
      <c r="R50" s="22" t="s">
        <v>21</v>
      </c>
      <c r="S50" s="23">
        <v>1379050</v>
      </c>
      <c r="T50" s="23">
        <v>108774</v>
      </c>
    </row>
    <row r="51" spans="16:20">
      <c r="P51" s="22" t="s">
        <v>19</v>
      </c>
      <c r="Q51" s="22" t="s">
        <v>14</v>
      </c>
      <c r="R51" s="22" t="s">
        <v>22</v>
      </c>
      <c r="S51" s="23">
        <v>932000</v>
      </c>
      <c r="T51" s="23">
        <v>225202</v>
      </c>
    </row>
    <row r="52" spans="16:20">
      <c r="P52" s="22" t="s">
        <v>19</v>
      </c>
      <c r="Q52" s="22" t="s">
        <v>14</v>
      </c>
      <c r="R52" s="22" t="s">
        <v>23</v>
      </c>
      <c r="S52" s="23">
        <v>1227100</v>
      </c>
      <c r="T52" s="23">
        <v>62905</v>
      </c>
    </row>
    <row r="53" spans="16:20">
      <c r="P53" s="22" t="s">
        <v>19</v>
      </c>
      <c r="Q53" s="22" t="s">
        <v>14</v>
      </c>
      <c r="R53" s="22" t="s">
        <v>24</v>
      </c>
      <c r="S53" s="23">
        <v>402300</v>
      </c>
      <c r="T53" s="23">
        <v>81420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Supap Chaiya</dc:creator>
  <cp:lastModifiedBy>ITService-room1</cp:lastModifiedBy>
  <dcterms:created xsi:type="dcterms:W3CDTF">2022-04-02T03:00:13Z</dcterms:created>
  <dcterms:modified xsi:type="dcterms:W3CDTF">2023-03-21T08:56:25Z</dcterms:modified>
</cp:coreProperties>
</file>